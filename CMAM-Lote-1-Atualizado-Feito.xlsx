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00" tabRatio="600" firstSheet="0" activeTab="0" autoFilterDateGrouping="1"/>
  </bookViews>
  <sheets>
    <sheet name="Nº0016" sheetId="1" state="visible" r:id="rId1"/>
  </sheets>
  <definedNames>
    <definedName name="_Toc68319419" localSheetId="0">Nº0016!#REF!</definedName>
    <definedName name="_Toc68319420" localSheetId="0">Nº0016!$A$1</definedName>
    <definedName name="_xlnm.Print_Titles" localSheetId="0">'Nº0016'!$1:$10</definedName>
    <definedName name="_xlnm.Print_Area" localSheetId="0">'Nº0016'!$A$1:$J$19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\-mm\-yyyy;@"/>
    <numFmt numFmtId="165" formatCode="_-* #,##0.00_-;\-* #,##0.00_-;_-* &quot;-&quot;??_-;_-@_-"/>
    <numFmt numFmtId="166" formatCode="_-* #,##0.00\ _€_-;\-* #,##0.00\ _€_-;_-* &quot;-&quot;??\ _€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8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2"/>
    </font>
    <font>
      <name val="Times New Roman"/>
      <family val="1"/>
      <color theme="1"/>
      <sz val="12"/>
    </font>
    <font>
      <name val="Calibri"/>
      <family val="2"/>
      <b val="1"/>
      <color indexed="8"/>
      <sz val="12"/>
    </font>
    <font>
      <name val="Calibri"/>
      <family val="2"/>
      <color theme="1"/>
      <sz val="12"/>
    </font>
    <font>
      <name val="Calibri"/>
      <family val="2"/>
      <color theme="10"/>
      <sz val="11"/>
      <u val="single"/>
      <scheme val="minor"/>
    </font>
    <font>
      <name val="Arial Nova Light"/>
      <family val="2"/>
      <b val="1"/>
      <color theme="1"/>
      <sz val="11"/>
    </font>
    <font>
      <name val="Arial Nova Light"/>
      <family val="2"/>
      <b val="1"/>
      <color theme="10"/>
      <sz val="11"/>
      <u val="single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11" fillId="0" borderId="0"/>
  </cellStyleXfs>
  <cellXfs count="10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indent="5"/>
    </xf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3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justify"/>
    </xf>
    <xf numFmtId="0" fontId="6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0" fillId="0" borderId="18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12" fillId="0" borderId="9" pivotButton="0" quotePrefix="0" xfId="0"/>
    <xf numFmtId="0" fontId="12" fillId="0" borderId="0" pivotButton="0" quotePrefix="0" xfId="0"/>
    <xf numFmtId="0" fontId="13" fillId="0" borderId="9" pivotButton="0" quotePrefix="0" xfId="2"/>
    <xf numFmtId="0" fontId="12" fillId="0" borderId="9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2" borderId="20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left" vertical="center" wrapText="1"/>
    </xf>
    <xf numFmtId="0" fontId="6" fillId="2" borderId="16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wrapText="1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1">
      <alignment vertical="center"/>
    </xf>
    <xf numFmtId="165" fontId="1" fillId="0" borderId="18" pivotButton="0" quotePrefix="0" xfId="1"/>
    <xf numFmtId="165" fontId="1" fillId="0" borderId="16" applyAlignment="1" pivotButton="0" quotePrefix="0" xfId="1">
      <alignment vertical="center"/>
    </xf>
    <xf numFmtId="165" fontId="1" fillId="0" borderId="18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0" borderId="23" applyAlignment="1" pivotButton="0" quotePrefix="0" xfId="0">
      <alignment horizontal="center" vertical="center" wrapText="1"/>
    </xf>
    <xf numFmtId="165" fontId="3" fillId="0" borderId="2" pivotButton="0" quotePrefix="0" xfId="1"/>
    <xf numFmtId="165" fontId="3" fillId="0" borderId="22" pivotButton="0" quotePrefix="0" xfId="1"/>
    <xf numFmtId="165" fontId="6" fillId="2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0" fillId="0" borderId="13" pivotButton="0" quotePrefix="0" xfId="0"/>
    <xf numFmtId="0" fontId="8" fillId="0" borderId="26" applyAlignment="1" pivotButton="0" quotePrefix="0" xfId="0">
      <alignment vertical="center" wrapText="1"/>
    </xf>
    <xf numFmtId="165" fontId="1" fillId="0" borderId="17" pivotButton="0" quotePrefix="0" xfId="1"/>
    <xf numFmtId="165" fontId="1" fillId="0" borderId="19" pivotButton="0" quotePrefix="0" xfId="1"/>
    <xf numFmtId="0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164" fontId="3" fillId="0" borderId="12" applyAlignment="1" pivotButton="0" quotePrefix="0" xfId="0">
      <alignment horizontal="left" wrapText="1"/>
    </xf>
    <xf numFmtId="0" fontId="0" fillId="0" borderId="1" pivotButton="0" quotePrefix="0" xfId="0"/>
    <xf numFmtId="0" fontId="3" fillId="0" borderId="2" applyAlignment="1" pivotButton="0" quotePrefix="0" xfId="0">
      <alignment horizontal="left" vertical="top" wrapText="1" indent="11"/>
    </xf>
    <xf numFmtId="0" fontId="1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 wrapText="1"/>
    </xf>
    <xf numFmtId="0" fontId="2" fillId="0" borderId="13" applyAlignment="1" pivotButton="0" quotePrefix="0" xfId="0">
      <alignment horizontal="right" vertical="top" wrapText="1"/>
    </xf>
    <xf numFmtId="0" fontId="0" fillId="0" borderId="7" pivotButton="0" quotePrefix="0" xfId="0"/>
    <xf numFmtId="164" fontId="3" fillId="0" borderId="12" applyAlignment="1" pivotButton="0" quotePrefix="0" xfId="0">
      <alignment horizontal="left" wrapText="1"/>
    </xf>
    <xf numFmtId="164" fontId="3" fillId="0" borderId="1" applyAlignment="1" pivotButton="0" quotePrefix="0" xfId="0">
      <alignment horizontal="left" wrapText="1"/>
    </xf>
    <xf numFmtId="0" fontId="0" fillId="0" borderId="2" pivotButton="0" quotePrefix="0" xfId="0"/>
    <xf numFmtId="165" fontId="1" fillId="0" borderId="16" applyAlignment="1" pivotButton="0" quotePrefix="0" xfId="1">
      <alignment vertical="center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2" borderId="25" applyAlignment="1" pivotButton="0" quotePrefix="0" xfId="0">
      <alignment horizontal="center" vertical="center" wrapText="1"/>
    </xf>
    <xf numFmtId="165" fontId="1" fillId="0" borderId="17" pivotButton="0" quotePrefix="0" xfId="1"/>
    <xf numFmtId="165" fontId="1" fillId="0" borderId="18" pivotButton="0" quotePrefix="0" xfId="1"/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1" fillId="0" borderId="19" pivotButton="0" quotePrefix="0" xfId="1"/>
    <xf numFmtId="165" fontId="1" fillId="0" borderId="18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3" fillId="0" borderId="22" pivotButton="0" quotePrefix="0" xfId="1"/>
    <xf numFmtId="165" fontId="3" fillId="0" borderId="2" pivotButton="0" quotePrefix="0" xfId="1"/>
    <xf numFmtId="165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1</row>
      <rowOff>38101</rowOff>
    </from>
    <to>
      <col>1</col>
      <colOff>1593215</colOff>
      <row>2</row>
      <rowOff>160021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0480" y="419101"/>
          <a:ext cx="1882140" cy="6248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infinityhealth.co.mz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tabSelected="1" zoomScaleNormal="100" workbookViewId="0">
      <pane xSplit="1" ySplit="10" topLeftCell="C17" activePane="bottomRight" state="frozen"/>
      <selection pane="topRight" activeCell="C1" sqref="C1"/>
      <selection pane="bottomLeft" activeCell="A7" sqref="A7"/>
      <selection pane="bottomRight" activeCell="G19" sqref="G19"/>
    </sheetView>
  </sheetViews>
  <sheetFormatPr baseColWidth="8" defaultRowHeight="15"/>
  <cols>
    <col width="4.140625" customWidth="1" style="72" min="1" max="1"/>
    <col width="55.140625" customWidth="1" style="72" min="2" max="2"/>
    <col width="10.42578125" customWidth="1" style="72" min="3" max="3"/>
    <col width="12.7109375" customWidth="1" style="72" min="4" max="4"/>
    <col width="20.140625" customWidth="1" style="72" min="5" max="5"/>
    <col width="7.85546875" customWidth="1" style="72" min="6" max="6"/>
    <col width="14" customWidth="1" style="72" min="7" max="7"/>
    <col width="17.85546875" customWidth="1" style="72" min="8" max="8"/>
    <col width="15.140625" customWidth="1" style="72" min="9" max="9"/>
    <col width="20" customWidth="1" style="72" min="10" max="10"/>
    <col width="20" customWidth="1" style="72" min="11" max="11"/>
    <col width="8.140625" customWidth="1" style="72" min="12" max="12"/>
    <col hidden="1" width="8.85546875" customWidth="1" style="72" min="13" max="13"/>
  </cols>
  <sheetData>
    <row r="1" ht="30" customHeight="1" s="72" thickBot="1" thickTop="1">
      <c r="A1" s="66" t="inlineStr">
        <is>
          <t>Contratação de fornecimento de material médico cirúrgico de grande rotação (Equipamentos de Proteção Individual) para o SNS</t>
        </is>
      </c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M1" s="6" t="n">
        <v>0.16</v>
      </c>
    </row>
    <row r="2" ht="39.95" customHeight="1" s="72" thickTop="1">
      <c r="A2" s="73" t="n"/>
      <c r="B2" s="74" t="n"/>
      <c r="C2" s="74" t="n"/>
      <c r="D2" s="74" t="n"/>
      <c r="E2" s="74" t="n"/>
      <c r="F2" s="74" t="n"/>
      <c r="G2" s="76" t="inlineStr">
        <is>
          <t>Concurso Público Nº 58A001241/CP/03/OE – Material Médico-Cirúrgicos de Grande Rotação/026</t>
        </is>
      </c>
      <c r="H2" s="74" t="n"/>
      <c r="I2" s="74" t="n"/>
      <c r="J2" s="74" t="n"/>
      <c r="K2" s="79" t="n"/>
      <c r="M2" s="6" t="n">
        <v>0.16</v>
      </c>
    </row>
    <row r="3" ht="24.6" customHeight="1" s="72">
      <c r="A3" s="29" t="inlineStr">
        <is>
          <t>Endereço: Rua da França, N°273, Bairro da Coop</t>
        </is>
      </c>
      <c r="B3" s="30" t="n"/>
      <c r="C3" s="26" t="n"/>
      <c r="D3" s="35" t="n"/>
      <c r="E3" s="35" t="n"/>
      <c r="F3" s="35" t="n"/>
      <c r="G3" s="35" t="n"/>
      <c r="H3" s="35" t="n"/>
      <c r="I3" s="55" t="n"/>
      <c r="J3" s="55" t="n"/>
      <c r="K3" s="25" t="n"/>
      <c r="M3" s="6" t="n"/>
    </row>
    <row r="4" ht="16.35" customHeight="1" s="72">
      <c r="A4" s="31" t="inlineStr">
        <is>
          <t>Email: info@infinityhealth.co.mz</t>
        </is>
      </c>
      <c r="B4" s="30" t="n"/>
      <c r="C4" s="26" t="n"/>
      <c r="D4" s="35" t="n"/>
      <c r="E4" s="35" t="n"/>
      <c r="F4" s="35" t="n"/>
      <c r="G4" s="35" t="n"/>
      <c r="H4" s="35" t="n"/>
      <c r="I4" s="55" t="n"/>
      <c r="J4" s="55" t="n"/>
      <c r="K4" s="25" t="n"/>
      <c r="M4" s="6" t="n"/>
    </row>
    <row r="5" ht="16.35" customHeight="1" s="72">
      <c r="A5" s="32" t="inlineStr">
        <is>
          <t>Telef: +258 86 226 0072</t>
        </is>
      </c>
      <c r="B5" s="30" t="n"/>
      <c r="C5" s="28" t="n"/>
      <c r="D5" s="71" t="inlineStr">
        <is>
          <t>Lote 1 - Material de Proteção Individual - Máscaras</t>
        </is>
      </c>
      <c r="J5" s="78" t="inlineStr">
        <is>
          <t>Cambio:1USD-63,89MT</t>
        </is>
      </c>
      <c r="K5" s="62" t="n"/>
      <c r="O5" s="1" t="n"/>
    </row>
    <row r="6" ht="14.45" customHeight="1" s="72">
      <c r="A6" s="29" t="inlineStr">
        <is>
          <t>NUIT 401550216</t>
        </is>
      </c>
      <c r="B6" s="30" t="n"/>
      <c r="C6" s="27" t="n"/>
      <c r="D6" s="22" t="n"/>
      <c r="E6" s="33" t="n"/>
      <c r="F6" s="34" t="n"/>
      <c r="G6" s="23" t="n"/>
      <c r="H6" s="23" t="n"/>
      <c r="I6" s="56" t="n"/>
      <c r="J6" s="56" t="n"/>
      <c r="K6" s="20" t="n"/>
      <c r="O6" s="1" t="n"/>
    </row>
    <row r="7" ht="13.35" customHeight="1" s="72">
      <c r="A7" s="29" t="inlineStr">
        <is>
          <t>Maputo - Moçambique</t>
        </is>
      </c>
      <c r="B7" s="30" t="n"/>
      <c r="C7" s="27" t="n"/>
      <c r="D7" s="22" t="n"/>
      <c r="E7" s="33" t="n"/>
      <c r="F7" s="34" t="n"/>
      <c r="G7" s="23" t="n"/>
      <c r="H7" s="23" t="n"/>
      <c r="I7" s="56" t="n"/>
      <c r="J7" s="56" t="n"/>
      <c r="K7" s="20" t="n"/>
      <c r="O7" s="1" t="n"/>
    </row>
    <row r="8" ht="20.1" customHeight="1" s="72" thickBot="1">
      <c r="A8" s="80" t="n"/>
      <c r="B8" s="69" t="n"/>
      <c r="C8" s="69" t="n"/>
      <c r="D8" s="81" t="n"/>
      <c r="E8" s="9" t="n"/>
      <c r="F8" s="9" t="n"/>
      <c r="G8" s="70" t="n"/>
      <c r="H8" s="69" t="n"/>
      <c r="I8" s="69" t="n"/>
      <c r="J8" s="82" t="n"/>
      <c r="K8" s="62" t="n"/>
      <c r="O8" s="2" t="n"/>
    </row>
    <row r="9" ht="15.75" customFormat="1" customHeight="1" s="4" thickBot="1" thickTop="1">
      <c r="A9" s="10" t="n">
        <v>1</v>
      </c>
      <c r="B9" s="11" t="n">
        <v>2</v>
      </c>
      <c r="C9" s="11" t="n">
        <v>3</v>
      </c>
      <c r="D9" s="11" t="n"/>
      <c r="E9" s="11" t="n">
        <v>4</v>
      </c>
      <c r="F9" s="11" t="n">
        <v>5</v>
      </c>
      <c r="G9" s="11" t="n">
        <v>6</v>
      </c>
      <c r="H9" s="11" t="n">
        <v>7</v>
      </c>
      <c r="I9" s="11" t="n">
        <v>8</v>
      </c>
      <c r="J9" s="11" t="n">
        <v>9</v>
      </c>
      <c r="K9" s="63" t="n">
        <v>10</v>
      </c>
      <c r="L9" s="5" t="n"/>
    </row>
    <row r="10" ht="26.25" customHeight="1" s="72" thickBot="1">
      <c r="A10" s="14" t="inlineStr">
        <is>
          <t>Item</t>
        </is>
      </c>
      <c r="B10" s="15" t="inlineStr">
        <is>
          <t xml:space="preserve">Descrição dos Bens </t>
        </is>
      </c>
      <c r="C10" s="15" t="inlineStr">
        <is>
          <t>País de Origem</t>
        </is>
      </c>
      <c r="D10" s="15" t="inlineStr">
        <is>
          <t>Tempo De Entrega</t>
        </is>
      </c>
      <c r="E10" s="15" t="inlineStr">
        <is>
          <t>QTD</t>
        </is>
      </c>
      <c r="F10" s="15" t="inlineStr">
        <is>
          <t>Unidade Física</t>
        </is>
      </c>
      <c r="G10" s="15" t="inlineStr">
        <is>
          <t xml:space="preserve">Preço Unitário </t>
        </is>
      </c>
      <c r="H10" s="15" t="inlineStr">
        <is>
          <t>Preço Total s/IVA</t>
        </is>
      </c>
      <c r="I10" s="15" t="inlineStr">
        <is>
          <t>IVA 16%</t>
        </is>
      </c>
      <c r="J10" s="61" t="inlineStr">
        <is>
          <t>Preço Total c/IVA</t>
        </is>
      </c>
      <c r="K10" s="57" t="inlineStr">
        <is>
          <t>Preço Total Com IVA em USD</t>
        </is>
      </c>
    </row>
    <row r="11" ht="27.95" customFormat="1" customHeight="1" s="36">
      <c r="A11" s="37" t="n">
        <v>1</v>
      </c>
      <c r="B11" s="38" t="inlineStr">
        <is>
          <t>Máscara Cirúrgica com fita do Tipo 2</t>
        </is>
      </c>
      <c r="C11" s="39" t="inlineStr">
        <is>
          <t>China</t>
        </is>
      </c>
      <c r="D11" s="39" t="inlineStr">
        <is>
          <t>90 Dias Úteis</t>
        </is>
      </c>
      <c r="E11" s="83" t="n">
        <v>100000</v>
      </c>
      <c r="F11" s="39" t="inlineStr">
        <is>
          <t>UN</t>
        </is>
      </c>
      <c r="G11" s="84" t="n">
        <v>93.09</v>
      </c>
      <c r="H11" s="84">
        <f>+G11*E11</f>
        <v/>
      </c>
      <c r="I11" s="85">
        <f>+H11*16%</f>
        <v/>
      </c>
      <c r="J11" s="86">
        <f>I11+H11</f>
        <v/>
      </c>
      <c r="K11" s="87">
        <f>+J11/63.89</f>
        <v/>
      </c>
    </row>
    <row r="12" ht="32.1" customHeight="1" s="72">
      <c r="A12" s="18" t="n">
        <v>2</v>
      </c>
      <c r="B12" s="12" t="inlineStr">
        <is>
          <t>Máscara Cirúrgica com Elástico PK50</t>
        </is>
      </c>
      <c r="C12" s="13" t="inlineStr">
        <is>
          <t>China</t>
        </is>
      </c>
      <c r="D12" s="13" t="inlineStr">
        <is>
          <t>90 Dias Úteis</t>
        </is>
      </c>
      <c r="E12" s="88" t="n">
        <v>1100000</v>
      </c>
      <c r="F12" s="13" t="inlineStr">
        <is>
          <t>UN</t>
        </is>
      </c>
      <c r="G12" s="89" t="n">
        <v>80</v>
      </c>
      <c r="H12" s="89">
        <f>+G12*E12</f>
        <v/>
      </c>
      <c r="I12" s="90">
        <f>16%*H12</f>
        <v/>
      </c>
      <c r="J12" s="90">
        <f>I12+H12</f>
        <v/>
      </c>
      <c r="K12" s="91">
        <f>+J12/63.89</f>
        <v/>
      </c>
    </row>
    <row r="13" ht="31.5" customHeight="1" s="72">
      <c r="A13" s="18" t="n">
        <v>3</v>
      </c>
      <c r="B13" s="12" t="inlineStr">
        <is>
          <t>Máscara N95/FFP2/KN95 (respirador semifacial, 5 camadas,embalagem individual) PK30</t>
        </is>
      </c>
      <c r="C13" s="13" t="inlineStr">
        <is>
          <t>China</t>
        </is>
      </c>
      <c r="D13" s="13" t="inlineStr">
        <is>
          <t>90 Dias Úteis</t>
        </is>
      </c>
      <c r="E13" s="88" t="n">
        <v>100000</v>
      </c>
      <c r="F13" s="13" t="inlineStr">
        <is>
          <t>UN</t>
        </is>
      </c>
      <c r="G13" s="89" t="n">
        <v>465</v>
      </c>
      <c r="H13" s="89">
        <f>+G13*E13</f>
        <v/>
      </c>
      <c r="I13" s="90">
        <f>+H13*16%</f>
        <v/>
      </c>
      <c r="J13" s="90">
        <f>I13+H13</f>
        <v/>
      </c>
      <c r="K13" s="91">
        <f>+J13/63.89</f>
        <v/>
      </c>
    </row>
    <row r="14" ht="31.5" customHeight="1" s="72">
      <c r="A14" s="18" t="n">
        <v>4</v>
      </c>
      <c r="B14" s="12" t="inlineStr">
        <is>
          <t>Plainitos descartáveis (pro-pé) cor azul, TNT 17×41 cm, pacote 100
un</t>
        </is>
      </c>
      <c r="C14" s="13" t="inlineStr">
        <is>
          <t>China</t>
        </is>
      </c>
      <c r="D14" s="13" t="inlineStr">
        <is>
          <t>90 Dias Úteis</t>
        </is>
      </c>
      <c r="E14" s="88" t="n">
        <v>300000</v>
      </c>
      <c r="F14" s="13" t="inlineStr">
        <is>
          <t>UN</t>
        </is>
      </c>
      <c r="G14" s="89" t="n">
        <v>261</v>
      </c>
      <c r="H14" s="89">
        <f>+G14*E14</f>
        <v/>
      </c>
      <c r="I14" s="90">
        <f>+H14*16%</f>
        <v/>
      </c>
      <c r="J14" s="90">
        <f>I14+H14</f>
        <v/>
      </c>
      <c r="K14" s="91">
        <f>+J14/63.89</f>
        <v/>
      </c>
    </row>
    <row r="15" ht="47.25" customHeight="1" s="72">
      <c r="A15" s="18" t="n">
        <v>5</v>
      </c>
      <c r="B15" s="21" t="inlineStr">
        <is>
          <t>Barretes descartáveis cor azul, TNT 45x52cm, com elástico</t>
        </is>
      </c>
      <c r="C15" s="13" t="inlineStr">
        <is>
          <t>China</t>
        </is>
      </c>
      <c r="D15" s="13" t="inlineStr">
        <is>
          <t>90 Dias Úteis</t>
        </is>
      </c>
      <c r="E15" s="92" t="n">
        <v>2000000</v>
      </c>
      <c r="F15" s="13" t="inlineStr">
        <is>
          <t>UN</t>
        </is>
      </c>
      <c r="G15" s="89" t="n">
        <v>235</v>
      </c>
      <c r="H15" s="89">
        <f>+G15*E15</f>
        <v/>
      </c>
      <c r="I15" s="90">
        <f>+H15*16%</f>
        <v/>
      </c>
      <c r="J15" s="90">
        <f>I15+H15</f>
        <v/>
      </c>
      <c r="K15" s="91">
        <f>+J15/63.89</f>
        <v/>
      </c>
    </row>
    <row r="16" ht="31.5" customHeight="1" s="72">
      <c r="A16" s="18" t="n">
        <v>6</v>
      </c>
      <c r="B16" s="21" t="inlineStr">
        <is>
          <t>Avental Hospitalar plástico descartável 80x125cm, impermeável</t>
        </is>
      </c>
      <c r="C16" s="13" t="inlineStr">
        <is>
          <t>China</t>
        </is>
      </c>
      <c r="D16" s="13" t="inlineStr">
        <is>
          <t>90 Dias Úteis</t>
        </is>
      </c>
      <c r="E16" s="92" t="n">
        <v>1000000</v>
      </c>
      <c r="F16" s="13" t="inlineStr">
        <is>
          <t>UN</t>
        </is>
      </c>
      <c r="G16" s="89" t="n">
        <v>5</v>
      </c>
      <c r="H16" s="89">
        <f>+G16*E16</f>
        <v/>
      </c>
      <c r="I16" s="90">
        <f>+H16*16%</f>
        <v/>
      </c>
      <c r="J16" s="90">
        <f>I16+H16</f>
        <v/>
      </c>
      <c r="K16" s="91">
        <f>+J16/63.89</f>
        <v/>
      </c>
    </row>
    <row r="17" ht="32.25" customHeight="1" s="72" thickBot="1">
      <c r="A17" s="18" t="n">
        <v>7</v>
      </c>
      <c r="B17" s="21" t="inlineStr">
        <is>
          <t>Avental de Borracha Reutilizável 110x70cm, 5%PVC/25%Poliéster, 300g/m2</t>
        </is>
      </c>
      <c r="C17" s="13" t="inlineStr">
        <is>
          <t>China</t>
        </is>
      </c>
      <c r="D17" s="13" t="inlineStr">
        <is>
          <t>90 Dias Úteis</t>
        </is>
      </c>
      <c r="E17" s="93" t="n">
        <v>20000</v>
      </c>
      <c r="F17" s="13" t="inlineStr">
        <is>
          <t>UN</t>
        </is>
      </c>
      <c r="G17" s="89" t="n">
        <v>300</v>
      </c>
      <c r="H17" s="89">
        <f>+G17*E17</f>
        <v/>
      </c>
      <c r="I17" s="90">
        <f>+H17*16%</f>
        <v/>
      </c>
      <c r="J17" s="90">
        <f>I17+H17</f>
        <v/>
      </c>
      <c r="K17" s="91">
        <f>+J17/63.89</f>
        <v/>
      </c>
    </row>
    <row r="18" ht="17.25" customHeight="1" s="72" thickBot="1" thickTop="1">
      <c r="A18" s="7" t="n"/>
      <c r="B18" s="7" t="n"/>
      <c r="C18" s="7" t="n"/>
      <c r="D18" s="7" t="n"/>
      <c r="E18" s="7" t="n"/>
      <c r="F18" s="7" t="n"/>
      <c r="G18" s="8" t="n"/>
      <c r="H18" s="94">
        <f>SUM(H11:H17)</f>
        <v/>
      </c>
      <c r="I18" s="95">
        <f>SUM(I11:I17)</f>
        <v/>
      </c>
      <c r="J18" s="96">
        <f>SUM(J11:J17)</f>
        <v/>
      </c>
      <c r="K18" s="97">
        <f>SUM(K11:K17)</f>
        <v/>
      </c>
    </row>
    <row r="19" ht="22.5" customHeight="1" s="72" thickTop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98" t="n"/>
      <c r="K19" s="98" t="n"/>
    </row>
    <row r="20">
      <c r="B20" s="16" t="n"/>
      <c r="I20" s="99" t="n"/>
    </row>
    <row r="21">
      <c r="H21" s="99" t="n"/>
      <c r="J21" s="99" t="n"/>
      <c r="K21" s="99" t="n"/>
    </row>
    <row r="26">
      <c r="B26" s="17" t="n"/>
    </row>
  </sheetData>
  <mergeCells count="7">
    <mergeCell ref="A2:F2"/>
    <mergeCell ref="A1:J1"/>
    <mergeCell ref="J5:K5"/>
    <mergeCell ref="G8:J8"/>
    <mergeCell ref="D5:I5"/>
    <mergeCell ref="A8:C8"/>
    <mergeCell ref="G2:K2"/>
  </mergeCells>
  <hyperlinks>
    <hyperlink xmlns:r="http://schemas.openxmlformats.org/officeDocument/2006/relationships" ref="A4" display="info@infinityhealth.co.mz" r:id="rId1"/>
  </hyperlinks>
  <printOptions horizontalCentered="1"/>
  <pageMargins left="0.5118110236220472" right="0.5905511811023623" top="0.7480314960629921" bottom="0.7480314960629921" header="0.3149606299212598" footer="0.3149606299212598"/>
  <pageSetup orientation="landscape" scale="7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2015-09-18T16:27:18Z</dcterms:created>
  <dcterms:modified xsi:type="dcterms:W3CDTF">2026-09-22T06:07:19Z</dcterms:modified>
  <cp:lastModifiedBy>Wilson</cp:lastModifiedBy>
  <cp:lastPrinted>2026-08-07T08:23:05Z</cp:lastPrinted>
</cp:coreProperties>
</file>