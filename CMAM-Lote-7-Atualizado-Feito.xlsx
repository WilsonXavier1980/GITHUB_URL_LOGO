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esktop\CMAM Concurso\"/>
    </mc:Choice>
  </mc:AlternateContent>
  <bookViews>
    <workbookView xWindow="0" yWindow="0" windowWidth="20490" windowHeight="7500"/>
  </bookViews>
  <sheets>
    <sheet name="Nº0016" sheetId="1" r:id="rId1"/>
  </sheets>
  <definedNames>
    <definedName name="_Toc68319419" localSheetId="0">Nº0016!#REF!</definedName>
    <definedName name="_Toc68319420" localSheetId="0">Nº0016!$A$1</definedName>
    <definedName name="_xlnm.Print_Area" localSheetId="0">Nº0016!$A$1:$J$18</definedName>
    <definedName name="_xlnm.Print_Titles" localSheetId="0">Nº0016!$1:$10</definedName>
  </definedNames>
  <calcPr calcId="162913"/>
</workbook>
</file>

<file path=xl/calcChain.xml><?xml version="1.0" encoding="utf-8"?>
<calcChain xmlns="http://schemas.openxmlformats.org/spreadsheetml/2006/main">
  <c r="H14" i="1" l="1"/>
  <c r="I14" i="1" s="1"/>
  <c r="J14" i="1" s="1"/>
  <c r="K14" i="1" s="1"/>
  <c r="H12" i="1"/>
  <c r="I12" i="1" s="1"/>
  <c r="J12" i="1" s="1"/>
  <c r="K12" i="1" s="1"/>
  <c r="H11" i="1"/>
  <c r="H16" i="1"/>
  <c r="I16" i="1" s="1"/>
  <c r="J16" i="1" s="1"/>
  <c r="K16" i="1" s="1"/>
  <c r="H15" i="1"/>
  <c r="I15" i="1" s="1"/>
  <c r="J15" i="1" s="1"/>
  <c r="K15" i="1" s="1"/>
  <c r="H13" i="1"/>
  <c r="I13" i="1" s="1"/>
  <c r="J13" i="1" s="1"/>
  <c r="K13" i="1" s="1"/>
  <c r="H17" i="1" l="1"/>
  <c r="I11" i="1"/>
  <c r="I17" i="1" l="1"/>
  <c r="J11" i="1"/>
  <c r="J17" i="1" l="1"/>
  <c r="K11" i="1"/>
  <c r="K17" i="1" s="1"/>
</calcChain>
</file>

<file path=xl/sharedStrings.xml><?xml version="1.0" encoding="utf-8"?>
<sst xmlns="http://schemas.openxmlformats.org/spreadsheetml/2006/main" count="44" uniqueCount="29">
  <si>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</si>
  <si>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</si>
  <si>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</si>
  <si>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</si>
  <si>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</si>
  <si>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Item</t>
  </si>
  <si>
    <t xml:space="preserve">Descrição dos Bens </t>
  </si>
  <si>
    <t>País de Origem</t>
  </si>
  <si>
    <t>Tempo De Entrega</t>
  </si>
  <si>
    <t>QTD</t>
  </si>
  <si>
    <t>Unidade Física</t>
  </si>
  <si>
    <t xml:space="preserve">Preço Unitário </t>
  </si>
  <si>
    <t>Preço Total s/IVA</t>
  </si>
  <si>
    <t>IVA 16%</t>
  </si>
  <si>
    <t>Preço Total c/IVA</t>
  </si>
  <si>
    <t>UN</t>
  </si>
  <si>
    <t>Contratação de fornecimento de material médico cirúrgico de grande rotação (Equipamentos de Proteção Individual) para o SNS</t>
  </si>
  <si>
    <t>Concurso Público Nº 58A001241/CP/03/OE – Material Médico-Cirúrgicos de Grande Rotação/026</t>
  </si>
  <si>
    <t>China</t>
  </si>
  <si>
    <t>90 Dias Úteis</t>
  </si>
  <si>
    <t>Preço Total Com IVA em USD</t>
  </si>
  <si>
    <t>Cambio:1USD-63,89MT</t>
  </si>
  <si>
    <t>Bracelete de identificação infantil, cor azul (PVC/vinil), pack 100</t>
  </si>
  <si>
    <t>Bracelete de identificação infantil, cor rosa (PVC/vinil), pack 100</t>
  </si>
  <si>
    <t>Bracelete de identificação adulto, cor azul (PVC/vinil), pack 100</t>
  </si>
  <si>
    <t>Bracelete de identificação adulto, cor rosa (PVC/vinil), pack 100
un</t>
  </si>
  <si>
    <t>Pêra de borracha para aspiração de recém-nascidos (30-60ml, BPA free)</t>
  </si>
  <si>
    <t>Lâmina para enxerto de pele, aço inox, estéril, emb. Individual</t>
  </si>
  <si>
    <t>Lote 7 - Material - Bracelete, Pêra de borracha e 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</si>
</sst>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11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9" fontId="0" fillId="0" borderId="0" xfId="0" applyNumberFormat="1"/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10" fillId="0" borderId="1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2" fillId="0" borderId="9" xfId="0" applyFont="1" applyBorder="1"/>
    <xf numFmtId="0" fontId="12" fillId="0" borderId="0" xfId="0" applyFont="1"/>
    <xf numFmtId="0" fontId="13" fillId="0" borderId="9" xfId="2" applyFont="1" applyBorder="1"/>
    <xf numFmtId="0" fontId="12" fillId="0" borderId="9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6" fillId="2" borderId="20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wrapText="1"/>
    </xf>
    <xf numFmtId="43" fontId="6" fillId="2" borderId="16" xfId="1" applyFont="1" applyFill="1" applyBorder="1" applyAlignment="1">
      <alignment horizontal="center" vertical="center" wrapText="1"/>
    </xf>
    <xf numFmtId="43" fontId="6" fillId="2" borderId="16" xfId="0" applyNumberFormat="1" applyFont="1" applyFill="1" applyBorder="1" applyAlignment="1">
      <alignment horizontal="center" vertical="center" wrapText="1"/>
    </xf>
    <xf numFmtId="43" fontId="6" fillId="0" borderId="18" xfId="1" applyFont="1" applyBorder="1" applyAlignment="1">
      <alignment horizontal="center" vertical="center" wrapText="1"/>
    </xf>
    <xf numFmtId="43" fontId="6" fillId="0" borderId="18" xfId="0" applyNumberFormat="1" applyFont="1" applyBorder="1" applyAlignment="1">
      <alignment horizontal="center" vertical="center" wrapText="1"/>
    </xf>
    <xf numFmtId="43" fontId="3" fillId="0" borderId="10" xfId="1" applyFont="1" applyBorder="1" applyAlignment="1">
      <alignment wrapText="1"/>
    </xf>
    <xf numFmtId="43" fontId="5" fillId="0" borderId="11" xfId="1" applyFont="1" applyBorder="1" applyAlignment="1">
      <alignment wrapText="1"/>
    </xf>
    <xf numFmtId="43" fontId="0" fillId="0" borderId="0" xfId="0" applyNumberFormat="1"/>
    <xf numFmtId="164" fontId="0" fillId="0" borderId="0" xfId="0" applyNumberFormat="1"/>
    <xf numFmtId="0" fontId="0" fillId="0" borderId="0" xfId="0"/>
    <xf numFmtId="43" fontId="1" fillId="0" borderId="18" xfId="1" applyBorder="1"/>
    <xf numFmtId="43" fontId="1" fillId="0" borderId="16" xfId="1" applyBorder="1" applyAlignment="1">
      <alignment vertical="center"/>
    </xf>
    <xf numFmtId="43" fontId="1" fillId="0" borderId="18" xfId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top" wrapText="1"/>
    </xf>
    <xf numFmtId="0" fontId="5" fillId="0" borderId="23" xfId="0" applyFont="1" applyBorder="1" applyAlignment="1">
      <alignment horizontal="center" vertical="center" wrapText="1"/>
    </xf>
    <xf numFmtId="43" fontId="3" fillId="0" borderId="2" xfId="1" applyFont="1" applyBorder="1"/>
    <xf numFmtId="43" fontId="3" fillId="0" borderId="22" xfId="1" applyFont="1" applyBorder="1"/>
    <xf numFmtId="43" fontId="6" fillId="2" borderId="25" xfId="0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13" xfId="0" applyBorder="1"/>
    <xf numFmtId="0" fontId="8" fillId="0" borderId="26" xfId="0" applyFont="1" applyBorder="1" applyAlignment="1">
      <alignment vertical="center" wrapText="1"/>
    </xf>
    <xf numFmtId="43" fontId="1" fillId="0" borderId="17" xfId="1" applyBorder="1"/>
    <xf numFmtId="43" fontId="1" fillId="0" borderId="19" xfId="1" applyBorder="1"/>
    <xf numFmtId="0" fontId="3" fillId="0" borderId="6" xfId="0" applyFont="1" applyBorder="1" applyAlignment="1">
      <alignment horizontal="center" vertical="center" wrapText="1"/>
    </xf>
    <xf numFmtId="0" fontId="0" fillId="0" borderId="6" xfId="0" applyBorder="1"/>
    <xf numFmtId="165" fontId="3" fillId="0" borderId="12" xfId="0" applyNumberFormat="1" applyFont="1" applyBorder="1" applyAlignment="1">
      <alignment horizontal="left" wrapText="1"/>
    </xf>
    <xf numFmtId="0" fontId="0" fillId="0" borderId="1" xfId="0" applyBorder="1"/>
    <xf numFmtId="0" fontId="3" fillId="0" borderId="2" xfId="0" applyFont="1" applyBorder="1" applyAlignment="1">
      <alignment horizontal="left" vertical="top" wrapText="1" indent="11"/>
    </xf>
    <xf numFmtId="0" fontId="14" fillId="0" borderId="0" xfId="0" applyFont="1" applyAlignment="1">
      <alignment horizontal="left" vertical="top" wrapText="1"/>
    </xf>
    <xf numFmtId="0" fontId="0" fillId="0" borderId="0" xfId="0"/>
    <xf numFmtId="0" fontId="3" fillId="0" borderId="8" xfId="0" applyFont="1" applyBorder="1" applyAlignment="1">
      <alignment horizontal="left" vertical="center" wrapText="1"/>
    </xf>
    <xf numFmtId="0" fontId="0" fillId="0" borderId="3" xfId="0" applyBorder="1"/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1</xdr:col>
      <xdr:colOff>1593215</xdr:colOff>
      <xdr:row>2</xdr:row>
      <xdr:rowOff>160021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82140" cy="6248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tabSelected="1" zoomScaleNormal="100" workbookViewId="0">
      <pane xSplit="1" ySplit="10" topLeftCell="B11" activePane="bottomRight" state="frozen"/>
      <selection pane="topRight" activeCell="C1" sqref="C1"/>
      <selection pane="bottomLeft" activeCell="A7" sqref="A7"/>
      <selection pane="bottomRight" activeCell="G15" sqref="G15"/>
    </sheetView>
  </sheetViews>
  <sheetFormatPr defaultRowHeight="15" x14ac:dyDescent="0.25"/>
  <cols>
    <col min="1" max="1" width="4.140625" customWidth="1"/>
    <col min="2" max="2" width="55.140625" customWidth="1"/>
    <col min="3" max="3" width="10.42578125" customWidth="1"/>
    <col min="4" max="4" width="12.7109375" customWidth="1"/>
    <col min="5" max="5" width="20.140625" customWidth="1"/>
    <col min="6" max="6" width="7.85546875" customWidth="1"/>
    <col min="7" max="7" width="14" customWidth="1"/>
    <col min="8" max="8" width="17.85546875" customWidth="1"/>
    <col min="9" max="9" width="15.140625" customWidth="1"/>
    <col min="10" max="10" width="20" customWidth="1"/>
    <col min="11" max="11" width="20" style="49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65" t="s">
        <v>16</v>
      </c>
      <c r="B1" s="66"/>
      <c r="C1" s="66"/>
      <c r="D1" s="66"/>
      <c r="E1" s="66"/>
      <c r="F1" s="66"/>
      <c r="G1" s="66"/>
      <c r="H1" s="66"/>
      <c r="I1" s="66"/>
      <c r="J1" s="66"/>
      <c r="K1" s="53"/>
      <c r="M1" s="6">
        <v>0.16</v>
      </c>
    </row>
    <row r="2" spans="1:15" ht="39.950000000000003" customHeight="1" thickTop="1" x14ac:dyDescent="0.25">
      <c r="A2" s="72"/>
      <c r="B2" s="73"/>
      <c r="C2" s="73"/>
      <c r="D2" s="73"/>
      <c r="E2" s="73"/>
      <c r="F2" s="73"/>
      <c r="G2" s="74" t="s">
        <v>17</v>
      </c>
      <c r="H2" s="74"/>
      <c r="I2" s="74"/>
      <c r="J2" s="74"/>
      <c r="K2" s="75"/>
      <c r="M2" s="6">
        <v>0.16</v>
      </c>
    </row>
    <row r="3" spans="1:15" ht="24.6" customHeight="1" x14ac:dyDescent="0.25">
      <c r="A3" s="29" t="s">
        <v>0</v>
      </c>
      <c r="B3" s="30"/>
      <c r="C3" s="26"/>
      <c r="D3" s="35"/>
      <c r="E3" s="35"/>
      <c r="F3" s="35"/>
      <c r="G3" s="35"/>
      <c r="H3" s="35"/>
      <c r="I3" s="24"/>
      <c r="J3" s="54"/>
      <c r="K3" s="25"/>
      <c r="M3" s="6"/>
    </row>
    <row r="4" spans="1:15" ht="16.350000000000001" customHeight="1" x14ac:dyDescent="0.25">
      <c r="A4" s="31" t="s">
        <v>1</v>
      </c>
      <c r="B4" s="30"/>
      <c r="C4" s="26"/>
      <c r="D4" s="35"/>
      <c r="E4" s="35"/>
      <c r="F4" s="35"/>
      <c r="G4" s="35"/>
      <c r="H4" s="35"/>
      <c r="I4" s="24"/>
      <c r="J4" s="54"/>
      <c r="K4" s="25"/>
      <c r="M4" s="6"/>
    </row>
    <row r="5" spans="1:15" ht="16.350000000000001" customHeight="1" x14ac:dyDescent="0.25">
      <c r="A5" s="32" t="s">
        <v>2</v>
      </c>
      <c r="B5" s="30"/>
      <c r="C5" s="28"/>
      <c r="D5" s="70" t="s">
        <v>28</v>
      </c>
      <c r="E5" s="71"/>
      <c r="F5" s="71"/>
      <c r="G5" s="71"/>
      <c r="H5" s="71"/>
      <c r="I5" s="71"/>
      <c r="J5" s="76" t="s">
        <v>21</v>
      </c>
      <c r="K5" s="77"/>
      <c r="O5" s="1"/>
    </row>
    <row r="6" spans="1:15" ht="14.45" customHeight="1" x14ac:dyDescent="0.25">
      <c r="A6" s="29" t="s">
        <v>3</v>
      </c>
      <c r="B6" s="30"/>
      <c r="C6" s="27"/>
      <c r="D6" s="22"/>
      <c r="E6" s="33"/>
      <c r="F6" s="34"/>
      <c r="G6" s="23"/>
      <c r="H6" s="23"/>
      <c r="I6" s="19"/>
      <c r="J6" s="55"/>
      <c r="K6" s="20"/>
      <c r="O6" s="1"/>
    </row>
    <row r="7" spans="1:15" ht="13.35" customHeight="1" x14ac:dyDescent="0.25">
      <c r="A7" s="29" t="s">
        <v>4</v>
      </c>
      <c r="B7" s="30"/>
      <c r="C7" s="27"/>
      <c r="D7" s="22"/>
      <c r="E7" s="33"/>
      <c r="F7" s="34"/>
      <c r="G7" s="23"/>
      <c r="H7" s="23"/>
      <c r="I7" s="19"/>
      <c r="J7" s="55"/>
      <c r="K7" s="20"/>
      <c r="O7" s="1"/>
    </row>
    <row r="8" spans="1:15" ht="20.100000000000001" customHeight="1" thickBot="1" x14ac:dyDescent="0.3">
      <c r="A8" s="67"/>
      <c r="B8" s="68"/>
      <c r="C8" s="68"/>
      <c r="D8" s="40"/>
      <c r="E8" s="9"/>
      <c r="F8" s="9"/>
      <c r="G8" s="69"/>
      <c r="H8" s="68"/>
      <c r="I8" s="68"/>
      <c r="J8" s="68"/>
      <c r="K8" s="61"/>
      <c r="O8" s="2"/>
    </row>
    <row r="9" spans="1:15" s="4" customFormat="1" ht="15.75" customHeight="1" thickTop="1" thickBot="1" x14ac:dyDescent="0.3">
      <c r="A9" s="10">
        <v>1</v>
      </c>
      <c r="B9" s="11">
        <v>2</v>
      </c>
      <c r="C9" s="11">
        <v>3</v>
      </c>
      <c r="D9" s="11"/>
      <c r="E9" s="11">
        <v>4</v>
      </c>
      <c r="F9" s="11">
        <v>5</v>
      </c>
      <c r="G9" s="11">
        <v>6</v>
      </c>
      <c r="H9" s="11">
        <v>7</v>
      </c>
      <c r="I9" s="11">
        <v>8</v>
      </c>
      <c r="J9" s="11">
        <v>9</v>
      </c>
      <c r="K9" s="62">
        <v>10</v>
      </c>
      <c r="L9" s="5"/>
    </row>
    <row r="10" spans="1:15" ht="26.25" customHeight="1" thickBot="1" x14ac:dyDescent="0.3">
      <c r="A10" s="14" t="s">
        <v>5</v>
      </c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G10" s="15" t="s">
        <v>11</v>
      </c>
      <c r="H10" s="15" t="s">
        <v>12</v>
      </c>
      <c r="I10" s="15" t="s">
        <v>13</v>
      </c>
      <c r="J10" s="60" t="s">
        <v>14</v>
      </c>
      <c r="K10" s="56" t="s">
        <v>20</v>
      </c>
    </row>
    <row r="11" spans="1:15" s="36" customFormat="1" ht="27.95" customHeight="1" x14ac:dyDescent="0.25">
      <c r="A11" s="37">
        <v>30</v>
      </c>
      <c r="B11" s="38" t="s">
        <v>22</v>
      </c>
      <c r="C11" s="39" t="s">
        <v>18</v>
      </c>
      <c r="D11" s="39" t="s">
        <v>19</v>
      </c>
      <c r="E11" s="51">
        <v>20000</v>
      </c>
      <c r="F11" s="39" t="s">
        <v>15</v>
      </c>
      <c r="G11" s="41">
        <v>4</v>
      </c>
      <c r="H11" s="41">
        <f t="shared" ref="H11:H16" si="0">+G11*E11</f>
        <v>80000</v>
      </c>
      <c r="I11" s="42">
        <f>+H11*16%</f>
        <v>12800</v>
      </c>
      <c r="J11" s="59">
        <f t="shared" ref="J11:J16" si="1">I11+H11</f>
        <v>92800</v>
      </c>
      <c r="K11" s="63">
        <f t="shared" ref="K11:K16" si="2">+J11/63.89</f>
        <v>1452.4964783221162</v>
      </c>
    </row>
    <row r="12" spans="1:15" ht="32.1" customHeight="1" x14ac:dyDescent="0.25">
      <c r="A12" s="18">
        <v>31</v>
      </c>
      <c r="B12" s="12" t="s">
        <v>23</v>
      </c>
      <c r="C12" s="13" t="s">
        <v>18</v>
      </c>
      <c r="D12" s="13" t="s">
        <v>19</v>
      </c>
      <c r="E12" s="50">
        <v>20000</v>
      </c>
      <c r="F12" s="13" t="s">
        <v>15</v>
      </c>
      <c r="G12" s="43">
        <v>4</v>
      </c>
      <c r="H12" s="43">
        <f t="shared" si="0"/>
        <v>80000</v>
      </c>
      <c r="I12" s="44">
        <f>16%*H12</f>
        <v>12800</v>
      </c>
      <c r="J12" s="44">
        <f t="shared" si="1"/>
        <v>92800</v>
      </c>
      <c r="K12" s="64">
        <f t="shared" si="2"/>
        <v>1452.4964783221162</v>
      </c>
    </row>
    <row r="13" spans="1:15" ht="31.5" customHeight="1" x14ac:dyDescent="0.25">
      <c r="A13" s="18">
        <v>32</v>
      </c>
      <c r="B13" s="12" t="s">
        <v>24</v>
      </c>
      <c r="C13" s="13" t="s">
        <v>18</v>
      </c>
      <c r="D13" s="13" t="s">
        <v>19</v>
      </c>
      <c r="E13" s="50">
        <v>20000</v>
      </c>
      <c r="F13" s="13" t="s">
        <v>15</v>
      </c>
      <c r="G13" s="43">
        <v>4</v>
      </c>
      <c r="H13" s="43">
        <f t="shared" si="0"/>
        <v>80000</v>
      </c>
      <c r="I13" s="44">
        <f t="shared" ref="I13:I16" si="3">+H13*16%</f>
        <v>12800</v>
      </c>
      <c r="J13" s="44">
        <f t="shared" si="1"/>
        <v>92800</v>
      </c>
      <c r="K13" s="64">
        <f t="shared" si="2"/>
        <v>1452.4964783221162</v>
      </c>
    </row>
    <row r="14" spans="1:15" ht="31.5" customHeight="1" x14ac:dyDescent="0.25">
      <c r="A14" s="18">
        <v>33</v>
      </c>
      <c r="B14" s="12" t="s">
        <v>25</v>
      </c>
      <c r="C14" s="13" t="s">
        <v>18</v>
      </c>
      <c r="D14" s="13" t="s">
        <v>19</v>
      </c>
      <c r="E14" s="50">
        <v>20000</v>
      </c>
      <c r="F14" s="13" t="s">
        <v>15</v>
      </c>
      <c r="G14" s="43">
        <v>4</v>
      </c>
      <c r="H14" s="43">
        <f t="shared" si="0"/>
        <v>80000</v>
      </c>
      <c r="I14" s="44">
        <f t="shared" si="3"/>
        <v>12800</v>
      </c>
      <c r="J14" s="44">
        <f t="shared" si="1"/>
        <v>92800</v>
      </c>
      <c r="K14" s="64">
        <f t="shared" si="2"/>
        <v>1452.4964783221162</v>
      </c>
    </row>
    <row r="15" spans="1:15" ht="47.25" customHeight="1" x14ac:dyDescent="0.25">
      <c r="A15" s="18">
        <v>34</v>
      </c>
      <c r="B15" s="21" t="s">
        <v>26</v>
      </c>
      <c r="C15" s="13" t="s">
        <v>18</v>
      </c>
      <c r="D15" s="13" t="s">
        <v>19</v>
      </c>
      <c r="E15" s="52">
        <v>20000</v>
      </c>
      <c r="F15" s="13" t="s">
        <v>15</v>
      </c>
      <c r="G15" s="43">
        <v>235</v>
      </c>
      <c r="H15" s="43">
        <f t="shared" si="0"/>
        <v>4700000</v>
      </c>
      <c r="I15" s="44">
        <f t="shared" si="3"/>
        <v>752000</v>
      </c>
      <c r="J15" s="44">
        <f t="shared" si="1"/>
        <v>5452000</v>
      </c>
      <c r="K15" s="64">
        <f t="shared" si="2"/>
        <v>85334.168101424322</v>
      </c>
    </row>
    <row r="16" spans="1:15" ht="31.5" customHeight="1" thickBot="1" x14ac:dyDescent="0.3">
      <c r="A16" s="18">
        <v>35</v>
      </c>
      <c r="B16" s="21" t="s">
        <v>27</v>
      </c>
      <c r="C16" s="13" t="s">
        <v>18</v>
      </c>
      <c r="D16" s="13" t="s">
        <v>19</v>
      </c>
      <c r="E16" s="52">
        <v>20000</v>
      </c>
      <c r="F16" s="13" t="s">
        <v>15</v>
      </c>
      <c r="G16" s="43">
        <v>4.5</v>
      </c>
      <c r="H16" s="43">
        <f t="shared" si="0"/>
        <v>90000</v>
      </c>
      <c r="I16" s="44">
        <f t="shared" si="3"/>
        <v>14400</v>
      </c>
      <c r="J16" s="44">
        <f t="shared" si="1"/>
        <v>104400</v>
      </c>
      <c r="K16" s="64">
        <f t="shared" si="2"/>
        <v>1634.0585381123806</v>
      </c>
    </row>
    <row r="17" spans="1:11" ht="17.25" customHeight="1" thickTop="1" thickBot="1" x14ac:dyDescent="0.3">
      <c r="A17" s="7"/>
      <c r="B17" s="7"/>
      <c r="C17" s="7"/>
      <c r="D17" s="7"/>
      <c r="E17" s="7"/>
      <c r="F17" s="7"/>
      <c r="G17" s="8"/>
      <c r="H17" s="45">
        <f>SUM(H11:H16)</f>
        <v>5110000</v>
      </c>
      <c r="I17" s="46">
        <f>SUM(I11:I16)</f>
        <v>817600</v>
      </c>
      <c r="J17" s="58">
        <f>SUM(J11:J16)</f>
        <v>5927600</v>
      </c>
      <c r="K17" s="57">
        <f>SUM(K11:K16)</f>
        <v>92778.212552825164</v>
      </c>
    </row>
    <row r="18" spans="1:11" ht="22.5" customHeight="1" thickTop="1" x14ac:dyDescent="0.25">
      <c r="A18" s="3"/>
      <c r="B18" s="3"/>
      <c r="C18" s="3"/>
      <c r="D18" s="3"/>
      <c r="E18" s="3"/>
      <c r="F18" s="3"/>
      <c r="G18" s="3"/>
      <c r="H18" s="3"/>
      <c r="I18" s="3"/>
      <c r="J18" s="47"/>
      <c r="K18" s="47"/>
    </row>
    <row r="19" spans="1:11" x14ac:dyDescent="0.25">
      <c r="B19" s="16"/>
      <c r="I19" s="48"/>
    </row>
    <row r="20" spans="1:11" x14ac:dyDescent="0.25">
      <c r="H20" s="48"/>
      <c r="J20" s="48"/>
      <c r="K20" s="48"/>
    </row>
    <row r="25" spans="1:11" x14ac:dyDescent="0.25">
      <c r="B25" s="17"/>
    </row>
  </sheetData>
  <mergeCells count="7">
    <mergeCell ref="A1:J1"/>
    <mergeCell ref="A8:C8"/>
    <mergeCell ref="G8:J8"/>
    <mergeCell ref="D5:I5"/>
    <mergeCell ref="A2:F2"/>
    <mergeCell ref="G2:K2"/>
    <mergeCell ref="J5:K5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78" footer="0.31496062992125978"/>
  <pageSetup scale="7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Nº0016</vt:lpstr>
      <vt:lpstr>Nº0016!_Toc68319420</vt:lpstr>
      <vt:lpstr>Nº0016!Print_Area</vt:lpstr>
      <vt:lpstr>Nº0016!Print_Titles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2026-09-21T22:46:43Z</dcterms:modified>
</cp:coreProperties>
</file>